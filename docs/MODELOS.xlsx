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 VIVOBook\Desktop\ALMYDEV\proyecto_yaned\"/>
    </mc:Choice>
  </mc:AlternateContent>
  <xr:revisionPtr revIDLastSave="0" documentId="13_ncr:1_{1CD3FA99-F5BE-492A-8A4E-24216799EC01}" xr6:coauthVersionLast="47" xr6:coauthVersionMax="47" xr10:uidLastSave="{00000000-0000-0000-0000-000000000000}"/>
  <bookViews>
    <workbookView xWindow="-108" yWindow="-108" windowWidth="23256" windowHeight="12456" xr2:uid="{00C54B9F-A7A0-4C58-865B-CEF382B5E1E9}"/>
  </bookViews>
  <sheets>
    <sheet name="EGRESO " sheetId="2" r:id="rId1"/>
    <sheet name="CUENTA DE COBRO " sheetId="3" r:id="rId2"/>
    <sheet name="CUADRE DE BANCO 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2" i="4" l="1"/>
  <c r="F3" i="4"/>
  <c r="F4" i="4" s="1"/>
  <c r="F5" i="4" s="1"/>
  <c r="F6" i="4" s="1"/>
  <c r="E20" i="3" l="1"/>
  <c r="E18" i="3"/>
  <c r="E9" i="2" l="1"/>
  <c r="E10" i="2"/>
  <c r="E14" i="2"/>
</calcChain>
</file>

<file path=xl/sharedStrings.xml><?xml version="1.0" encoding="utf-8"?>
<sst xmlns="http://schemas.openxmlformats.org/spreadsheetml/2006/main" count="50" uniqueCount="49">
  <si>
    <t>Imputación contable:</t>
  </si>
  <si>
    <t xml:space="preserve">                                                                                 Total pagado</t>
  </si>
  <si>
    <t xml:space="preserve">VALOR DE ADMINISTRACION </t>
  </si>
  <si>
    <t>PAGO DE ALQUILER DE ARRENDAMIENTO DEL MES DE SEPTIEMBRE DEL 15 AL 30 2026 CASA CIDAD DE JARDIN # 1 CALLE 27 # 9 -112</t>
  </si>
  <si>
    <t>VALOR</t>
  </si>
  <si>
    <t>CONCEPTO</t>
  </si>
  <si>
    <t>Cédula o NIT:</t>
  </si>
  <si>
    <t xml:space="preserve">LUZ ORFILIA GOMEZ DE GARCIA </t>
  </si>
  <si>
    <t>Beneficiario:</t>
  </si>
  <si>
    <t>No. 114</t>
  </si>
  <si>
    <t xml:space="preserve">COMPROBANTE DE EGRESO  </t>
  </si>
  <si>
    <t>REMISION</t>
  </si>
  <si>
    <r>
      <rPr>
        <b/>
        <sz val="14"/>
        <color theme="1"/>
        <rFont val="Times New Roman"/>
        <family val="1"/>
      </rPr>
      <t>Nro.</t>
    </r>
  </si>
  <si>
    <r>
      <rPr>
        <sz val="14"/>
        <color theme="1"/>
        <rFont val="Times New Roman"/>
        <family val="1"/>
      </rPr>
      <t>Fecha:</t>
    </r>
  </si>
  <si>
    <r>
      <rPr>
        <sz val="14"/>
        <color theme="1"/>
        <rFont val="Times New Roman"/>
        <family val="1"/>
      </rPr>
      <t>Dirección:</t>
    </r>
  </si>
  <si>
    <t>Carera 21  Nro. 16-29,  La Ceja</t>
  </si>
  <si>
    <r>
      <rPr>
        <sz val="14"/>
        <color theme="1"/>
        <rFont val="Times New Roman"/>
        <family val="1"/>
      </rPr>
      <t>Nit.</t>
    </r>
  </si>
  <si>
    <r>
      <rPr>
        <sz val="14"/>
        <color theme="1"/>
        <rFont val="Times New Roman"/>
        <family val="1"/>
      </rPr>
      <t>Email:</t>
    </r>
  </si>
  <si>
    <t>solucioninmobiliaria360@gmail.com</t>
  </si>
  <si>
    <r>
      <rPr>
        <b/>
        <sz val="14"/>
        <color theme="1"/>
        <rFont val="Times New Roman"/>
        <family val="1"/>
      </rPr>
      <t>Señores:</t>
    </r>
  </si>
  <si>
    <t xml:space="preserve">ESTEBAN RINCON OSORIO </t>
  </si>
  <si>
    <r>
      <rPr>
        <b/>
        <sz val="14"/>
        <color theme="1"/>
        <rFont val="Times New Roman"/>
        <family val="1"/>
      </rPr>
      <t>C.C.</t>
    </r>
  </si>
  <si>
    <r>
      <rPr>
        <b/>
        <sz val="14"/>
        <color theme="1"/>
        <rFont val="Times New Roman"/>
        <family val="1"/>
      </rPr>
      <t>Teléfono:</t>
    </r>
  </si>
  <si>
    <r>
      <rPr>
        <b/>
        <sz val="14"/>
        <color theme="1"/>
        <rFont val="Times New Roman"/>
        <family val="1"/>
      </rPr>
      <t>Ciudad:</t>
    </r>
  </si>
  <si>
    <r>
      <rPr>
        <sz val="14"/>
        <color theme="1"/>
        <rFont val="Times New Roman"/>
        <family val="1"/>
      </rPr>
      <t>LA CEJA- ANTIOQUIA</t>
    </r>
  </si>
  <si>
    <r>
      <rPr>
        <b/>
        <sz val="14"/>
        <color theme="1"/>
        <rFont val="Times New Roman"/>
        <family val="1"/>
      </rPr>
      <t>Dirección:</t>
    </r>
  </si>
  <si>
    <t>CALLE 17 # 21 45</t>
  </si>
  <si>
    <r>
      <rPr>
        <sz val="14"/>
        <color theme="1"/>
        <rFont val="Times New Roman"/>
        <family val="1"/>
      </rPr>
      <t>VALOR A PAGAR:</t>
    </r>
  </si>
  <si>
    <t xml:space="preserve">UN MILLON SETENCIENTOS CINCUENTA MIL PESOS </t>
  </si>
  <si>
    <r>
      <rPr>
        <b/>
        <sz val="14"/>
        <color theme="1"/>
        <rFont val="Times New Roman"/>
        <family val="1"/>
      </rPr>
      <t>CONCEPTO:</t>
    </r>
  </si>
  <si>
    <t xml:space="preserve">PAGO DE  ARRENDAMIENTO DEL MES DE AGOSTO </t>
  </si>
  <si>
    <t>Favor pagar a: KELLY GOMEZ CASTAÑO
C.C 1040050326</t>
  </si>
  <si>
    <r>
      <rPr>
        <sz val="14"/>
        <color theme="1"/>
        <rFont val="Times New Roman"/>
        <family val="1"/>
      </rPr>
      <t>Subtotal</t>
    </r>
  </si>
  <si>
    <r>
      <rPr>
        <sz val="14"/>
        <color theme="1"/>
        <rFont val="Times New Roman"/>
        <family val="1"/>
      </rPr>
      <t>Rte. fuente</t>
    </r>
  </si>
  <si>
    <r>
      <rPr>
        <sz val="14"/>
        <color theme="1"/>
        <rFont val="Times New Roman"/>
        <family val="1"/>
      </rPr>
      <t>Cuenta de ahorros Bancolombia:</t>
    </r>
  </si>
  <si>
    <r>
      <rPr>
        <sz val="14"/>
        <color theme="1"/>
        <rFont val="Times New Roman"/>
        <family val="1"/>
      </rPr>
      <t>TOTAL</t>
    </r>
  </si>
  <si>
    <t># 02382248492</t>
  </si>
  <si>
    <t>Administracion 20%</t>
  </si>
  <si>
    <t>FECHA</t>
  </si>
  <si>
    <t xml:space="preserve">ADMINISTRACION </t>
  </si>
  <si>
    <t>INGRESO</t>
  </si>
  <si>
    <t>GASTO</t>
  </si>
  <si>
    <t>TOTAL</t>
  </si>
  <si>
    <t xml:space="preserve">pago de gravamen </t>
  </si>
  <si>
    <t>pago de arriendo casa villalaura sebastian orrego (Fabiola Sarmiento)</t>
  </si>
  <si>
    <t>pago de arrendamiento de casa pinolinda (angie tatiana florez calle)</t>
  </si>
  <si>
    <t>pago de arrendamiento apartamento ara (Camilo paternina)</t>
  </si>
  <si>
    <t>pago de arriendo apto 402 portobello mateo soto (Gabriel vargas)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</si>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</sst>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 * #,##0_ ;_ * \-#,##0_ ;_ * &quot;-&quot;??_ ;_ @_ "/>
    <numFmt numFmtId="165" formatCode="[$-240A]d&quot; de &quot;mmmm&quot; de &quot;yyyy;@"/>
    <numFmt numFmtId="166" formatCode="\$\ #,##0"/>
    <numFmt numFmtId="167" formatCode="\$\ 0"/>
    <numFmt numFmtId="168" formatCode="[$-240A]d&quot; de &quot;mmmm&quot; de &quot;yyyy"/>
  </numFmts>
  <fonts count="25">
    <font>
      <sz val="11"/>
      <color theme="1"/>
      <name val="Calibri"/>
      <family val="2"/>
      <scheme val="minor"/>
    </font>
    <font>
      <sz val="10"/>
      <color theme="1"/>
      <name val="Arial Narrow"/>
      <family val="2"/>
    </font>
    <font>
      <sz val="8"/>
      <color theme="1"/>
      <name val="Arial Narrow"/>
      <family val="2"/>
    </font>
    <font>
      <sz val="11"/>
      <name val="Calibri"/>
      <family val="2"/>
    </font>
    <font>
      <b/>
      <sz val="7"/>
      <color theme="1"/>
      <name val="Arial Narrow"/>
      <family val="2"/>
    </font>
    <font>
      <b/>
      <sz val="12"/>
      <color theme="1"/>
      <name val="Arial Narrow"/>
      <family val="2"/>
    </font>
    <font>
      <b/>
      <sz val="10"/>
      <color theme="1"/>
      <name val="Arial Narrow"/>
      <family val="2"/>
    </font>
    <font>
      <sz val="7"/>
      <color theme="1"/>
      <name val="Arial Narrow"/>
      <family val="2"/>
    </font>
    <font>
      <b/>
      <sz val="8"/>
      <color theme="1"/>
      <name val="Arial Narrow"/>
      <family val="2"/>
    </font>
    <font>
      <b/>
      <sz val="16"/>
      <color theme="1"/>
      <name val="Arial Narrow"/>
      <family val="2"/>
    </font>
    <font>
      <b/>
      <sz val="12"/>
      <color theme="1"/>
      <name val="Modern"/>
      <charset val="134"/>
    </font>
    <font>
      <sz val="10"/>
      <color rgb="FF000000"/>
      <name val="Calibri"/>
      <family val="2"/>
      <scheme val="minor"/>
    </font>
    <font>
      <sz val="10"/>
      <color rgb="FF000000"/>
      <name val="Times New Roman"/>
      <family val="1"/>
    </font>
    <font>
      <sz val="10"/>
      <name val="Times New Roman"/>
      <family val="1"/>
    </font>
    <font>
      <b/>
      <sz val="14"/>
      <color theme="1"/>
      <name val="Times New Roman"/>
      <family val="1"/>
    </font>
    <font>
      <b/>
      <sz val="14"/>
      <color rgb="FF000000"/>
      <name val="Times New Roman"/>
      <family val="1"/>
    </font>
    <font>
      <sz val="14"/>
      <color theme="1"/>
      <name val="Times New Roman"/>
      <family val="1"/>
    </font>
    <font>
      <sz val="12"/>
      <color theme="1"/>
      <name val="Times New Roman"/>
      <family val="1"/>
    </font>
    <font>
      <sz val="12"/>
      <color theme="1"/>
      <name val="Calibri"/>
      <family val="2"/>
    </font>
    <font>
      <u/>
      <sz val="10"/>
      <color theme="10"/>
      <name val="Times New Roman"/>
      <family val="1"/>
    </font>
    <font>
      <sz val="14"/>
      <color rgb="FF000000"/>
      <name val="Times New Roman"/>
      <family val="1"/>
    </font>
    <font>
      <sz val="12"/>
      <color rgb="FF000000"/>
      <name val="Times New Roman"/>
      <family val="1"/>
    </font>
    <font>
      <b/>
      <sz val="16"/>
      <color rgb="FF000000"/>
      <name val="Times New Roman"/>
      <family val="1"/>
    </font>
    <font>
      <b/>
      <sz val="11"/>
      <color theme="1"/>
      <name val="Imprint MT Shadow"/>
      <family val="5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EEAF6"/>
        <bgColor rgb="FFDEEAF6"/>
      </patternFill>
    </fill>
    <fill>
      <patternFill patternType="solid">
        <fgColor rgb="FFFFFF00"/>
        <bgColor indexed="64"/>
      </patternFill>
    </fill>
  </fills>
  <borders count="23"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1" fillId="0" borderId="0"/>
  </cellStyleXfs>
  <cellXfs count="86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1" fillId="0" borderId="0" xfId="0" applyFont="1" applyAlignment="1">
      <alignment horizontal="left" vertical="center"/>
    </xf>
    <xf numFmtId="164" fontId="5" fillId="0" borderId="12" xfId="0" applyNumberFormat="1" applyFont="1" applyBorder="1" applyAlignment="1">
      <alignment horizontal="center" vertical="center"/>
    </xf>
    <xf numFmtId="164" fontId="1" fillId="0" borderId="12" xfId="0" applyNumberFormat="1" applyFont="1" applyBorder="1" applyAlignment="1">
      <alignment vertical="center"/>
    </xf>
    <xf numFmtId="164" fontId="2" fillId="0" borderId="12" xfId="0" applyNumberFormat="1" applyFont="1" applyBorder="1" applyAlignment="1">
      <alignment vertical="center"/>
    </xf>
    <xf numFmtId="0" fontId="6" fillId="0" borderId="0" xfId="0" applyFont="1" applyAlignment="1">
      <alignment vertical="center"/>
    </xf>
    <xf numFmtId="0" fontId="6" fillId="0" borderId="12" xfId="0" applyFont="1" applyBorder="1" applyAlignment="1">
      <alignment horizontal="center" vertical="center"/>
    </xf>
    <xf numFmtId="0" fontId="1" fillId="0" borderId="12" xfId="0" applyFont="1" applyBorder="1" applyAlignment="1">
      <alignment vertical="center"/>
    </xf>
    <xf numFmtId="0" fontId="7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11" fillId="0" borderId="0" xfId="1" applyAlignment="1">
      <alignment horizontal="left" vertical="top"/>
    </xf>
    <xf numFmtId="0" fontId="14" fillId="0" borderId="12" xfId="1" applyFont="1" applyBorder="1" applyAlignment="1">
      <alignment horizontal="left" vertical="top" wrapText="1"/>
    </xf>
    <xf numFmtId="0" fontId="16" fillId="0" borderId="12" xfId="1" applyFont="1" applyBorder="1" applyAlignment="1">
      <alignment horizontal="left" vertical="top" wrapText="1"/>
    </xf>
    <xf numFmtId="0" fontId="17" fillId="0" borderId="6" xfId="1" applyFont="1" applyBorder="1" applyAlignment="1">
      <alignment horizontal="left" vertical="top" wrapText="1"/>
    </xf>
    <xf numFmtId="0" fontId="12" fillId="0" borderId="0" xfId="1" applyFont="1" applyAlignment="1">
      <alignment horizontal="left" wrapText="1"/>
    </xf>
    <xf numFmtId="0" fontId="12" fillId="0" borderId="5" xfId="1" applyFont="1" applyBorder="1" applyAlignment="1">
      <alignment horizontal="left" wrapText="1"/>
    </xf>
    <xf numFmtId="166" fontId="21" fillId="0" borderId="12" xfId="1" applyNumberFormat="1" applyFont="1" applyBorder="1" applyAlignment="1">
      <alignment horizontal="center" vertical="top" shrinkToFit="1"/>
    </xf>
    <xf numFmtId="0" fontId="16" fillId="0" borderId="6" xfId="1" applyFont="1" applyBorder="1" applyAlignment="1">
      <alignment horizontal="left" vertical="top" wrapText="1"/>
    </xf>
    <xf numFmtId="167" fontId="20" fillId="0" borderId="12" xfId="1" applyNumberFormat="1" applyFont="1" applyBorder="1" applyAlignment="1">
      <alignment horizontal="center" vertical="top" shrinkToFit="1"/>
    </xf>
    <xf numFmtId="168" fontId="23" fillId="2" borderId="16" xfId="0" applyNumberFormat="1" applyFont="1" applyFill="1" applyBorder="1" applyAlignment="1">
      <alignment horizontal="left" wrapText="1"/>
    </xf>
    <xf numFmtId="0" fontId="23" fillId="2" borderId="16" xfId="0" applyFont="1" applyFill="1" applyBorder="1" applyAlignment="1">
      <alignment wrapText="1"/>
    </xf>
    <xf numFmtId="3" fontId="23" fillId="0" borderId="17" xfId="0" applyNumberFormat="1" applyFont="1" applyBorder="1" applyAlignment="1">
      <alignment wrapText="1"/>
    </xf>
    <xf numFmtId="3" fontId="23" fillId="2" borderId="18" xfId="0" applyNumberFormat="1" applyFont="1" applyFill="1" applyBorder="1" applyAlignment="1">
      <alignment wrapText="1"/>
    </xf>
    <xf numFmtId="3" fontId="23" fillId="2" borderId="19" xfId="0" applyNumberFormat="1" applyFont="1" applyFill="1" applyBorder="1" applyAlignment="1">
      <alignment wrapText="1"/>
    </xf>
    <xf numFmtId="3" fontId="23" fillId="2" borderId="20" xfId="0" applyNumberFormat="1" applyFont="1" applyFill="1" applyBorder="1" applyAlignment="1">
      <alignment wrapText="1"/>
    </xf>
    <xf numFmtId="0" fontId="0" fillId="0" borderId="16" xfId="0" applyBorder="1"/>
    <xf numFmtId="168" fontId="24" fillId="0" borderId="16" xfId="0" applyNumberFormat="1" applyFont="1" applyBorder="1" applyAlignment="1">
      <alignment horizontal="left"/>
    </xf>
    <xf numFmtId="3" fontId="0" fillId="0" borderId="17" xfId="0" applyNumberFormat="1" applyBorder="1"/>
    <xf numFmtId="3" fontId="24" fillId="0" borderId="21" xfId="0" applyNumberFormat="1" applyFont="1" applyBorder="1"/>
    <xf numFmtId="3" fontId="24" fillId="0" borderId="16" xfId="0" applyNumberFormat="1" applyFont="1" applyBorder="1"/>
    <xf numFmtId="3" fontId="24" fillId="0" borderId="22" xfId="0" applyNumberFormat="1" applyFont="1" applyBorder="1" applyAlignment="1">
      <alignment wrapText="1"/>
    </xf>
    <xf numFmtId="3" fontId="24" fillId="3" borderId="21" xfId="0" applyNumberFormat="1" applyFont="1" applyFill="1" applyBorder="1"/>
    <xf numFmtId="0" fontId="1" fillId="0" borderId="15" xfId="0" applyFont="1" applyBorder="1" applyAlignment="1">
      <alignment horizontal="right" vertical="center"/>
    </xf>
    <xf numFmtId="0" fontId="3" fillId="0" borderId="14" xfId="0" applyFont="1" applyBorder="1"/>
    <xf numFmtId="0" fontId="3" fillId="0" borderId="13" xfId="0" applyFont="1" applyBorder="1"/>
    <xf numFmtId="0" fontId="4" fillId="0" borderId="11" xfId="0" applyFont="1" applyBorder="1" applyAlignment="1">
      <alignment horizontal="center" vertical="center" wrapText="1"/>
    </xf>
    <xf numFmtId="0" fontId="3" fillId="0" borderId="7" xfId="0" applyFont="1" applyBorder="1"/>
    <xf numFmtId="0" fontId="3" fillId="0" borderId="4" xfId="0" applyFont="1" applyBorder="1"/>
    <xf numFmtId="0" fontId="2" fillId="0" borderId="10" xfId="0" applyFont="1" applyBorder="1" applyAlignment="1">
      <alignment horizontal="center" vertical="center"/>
    </xf>
    <xf numFmtId="0" fontId="3" fillId="0" borderId="9" xfId="0" applyFont="1" applyBorder="1"/>
    <xf numFmtId="0" fontId="3" fillId="0" borderId="8" xfId="0" applyFont="1" applyBorder="1"/>
    <xf numFmtId="0" fontId="3" fillId="0" borderId="6" xfId="0" applyFont="1" applyBorder="1"/>
    <xf numFmtId="0" fontId="0" fillId="0" borderId="0" xfId="0"/>
    <xf numFmtId="0" fontId="3" fillId="0" borderId="5" xfId="0" applyFont="1" applyBorder="1"/>
    <xf numFmtId="0" fontId="3" fillId="0" borderId="3" xfId="0" applyFont="1" applyBorder="1"/>
    <xf numFmtId="0" fontId="3" fillId="0" borderId="2" xfId="0" applyFont="1" applyBorder="1"/>
    <xf numFmtId="0" fontId="3" fillId="0" borderId="1" xfId="0" applyFont="1" applyBorder="1"/>
    <xf numFmtId="0" fontId="2" fillId="0" borderId="0" xfId="0" applyFont="1" applyAlignment="1">
      <alignment horizontal="left" vertical="center"/>
    </xf>
    <xf numFmtId="0" fontId="6" fillId="0" borderId="15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3" fontId="1" fillId="0" borderId="15" xfId="0" applyNumberFormat="1" applyFont="1" applyBorder="1" applyAlignment="1">
      <alignment horizontal="left" vertical="center"/>
    </xf>
    <xf numFmtId="0" fontId="1" fillId="0" borderId="15" xfId="0" applyFont="1" applyBorder="1" applyAlignment="1">
      <alignment horizontal="left" vertical="center"/>
    </xf>
    <xf numFmtId="0" fontId="10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top" wrapText="1"/>
    </xf>
    <xf numFmtId="0" fontId="8" fillId="0" borderId="11" xfId="0" applyFont="1" applyBorder="1" applyAlignment="1">
      <alignment horizontal="center" vertical="center" wrapText="1"/>
    </xf>
    <xf numFmtId="0" fontId="9" fillId="0" borderId="11" xfId="0" applyFont="1" applyBorder="1" applyAlignment="1">
      <alignment horizontal="left" vertical="center"/>
    </xf>
    <xf numFmtId="0" fontId="16" fillId="0" borderId="15" xfId="1" applyFont="1" applyBorder="1" applyAlignment="1">
      <alignment horizontal="left" vertical="top" wrapText="1"/>
    </xf>
    <xf numFmtId="0" fontId="13" fillId="0" borderId="14" xfId="1" applyFont="1" applyBorder="1" applyAlignment="1">
      <alignment horizontal="left" vertical="top"/>
    </xf>
    <xf numFmtId="0" fontId="13" fillId="0" borderId="13" xfId="1" applyFont="1" applyBorder="1" applyAlignment="1">
      <alignment horizontal="left" vertical="top"/>
    </xf>
    <xf numFmtId="0" fontId="14" fillId="0" borderId="10" xfId="1" applyFont="1" applyBorder="1" applyAlignment="1">
      <alignment horizontal="left" vertical="top" wrapText="1"/>
    </xf>
    <xf numFmtId="0" fontId="13" fillId="0" borderId="9" xfId="1" applyFont="1" applyBorder="1" applyAlignment="1">
      <alignment horizontal="left" vertical="top"/>
    </xf>
    <xf numFmtId="0" fontId="13" fillId="0" borderId="8" xfId="1" applyFont="1" applyBorder="1" applyAlignment="1">
      <alignment horizontal="left" vertical="top"/>
    </xf>
    <xf numFmtId="0" fontId="16" fillId="0" borderId="10" xfId="1" applyFont="1" applyBorder="1" applyAlignment="1">
      <alignment horizontal="center" vertical="top" wrapText="1"/>
    </xf>
    <xf numFmtId="0" fontId="13" fillId="0" borderId="3" xfId="1" applyFont="1" applyBorder="1" applyAlignment="1">
      <alignment horizontal="left" vertical="top"/>
    </xf>
    <xf numFmtId="0" fontId="13" fillId="0" borderId="1" xfId="1" applyFont="1" applyBorder="1" applyAlignment="1">
      <alignment horizontal="left" vertical="top"/>
    </xf>
    <xf numFmtId="0" fontId="16" fillId="0" borderId="10" xfId="1" applyFont="1" applyBorder="1" applyAlignment="1">
      <alignment horizontal="left" vertical="top" wrapText="1"/>
    </xf>
    <xf numFmtId="166" fontId="22" fillId="0" borderId="11" xfId="1" applyNumberFormat="1" applyFont="1" applyBorder="1" applyAlignment="1">
      <alignment horizontal="left" vertical="top" shrinkToFit="1"/>
    </xf>
    <xf numFmtId="0" fontId="13" fillId="0" borderId="4" xfId="1" applyFont="1" applyBorder="1" applyAlignment="1">
      <alignment horizontal="left" vertical="top"/>
    </xf>
    <xf numFmtId="0" fontId="16" fillId="0" borderId="15" xfId="1" applyFont="1" applyBorder="1" applyAlignment="1">
      <alignment horizontal="center" vertical="top" wrapText="1"/>
    </xf>
    <xf numFmtId="3" fontId="20" fillId="0" borderId="15" xfId="1" applyNumberFormat="1" applyFont="1" applyBorder="1" applyAlignment="1">
      <alignment horizontal="center" vertical="top" shrinkToFit="1"/>
    </xf>
    <xf numFmtId="0" fontId="12" fillId="0" borderId="15" xfId="1" applyFont="1" applyBorder="1" applyAlignment="1">
      <alignment horizontal="left" wrapText="1"/>
    </xf>
    <xf numFmtId="0" fontId="12" fillId="0" borderId="10" xfId="1" applyFont="1" applyBorder="1" applyAlignment="1">
      <alignment horizontal="left" vertical="top" wrapText="1"/>
    </xf>
    <xf numFmtId="0" fontId="13" fillId="0" borderId="6" xfId="1" applyFont="1" applyBorder="1" applyAlignment="1">
      <alignment horizontal="left" vertical="top"/>
    </xf>
    <xf numFmtId="0" fontId="13" fillId="0" borderId="5" xfId="1" applyFont="1" applyBorder="1" applyAlignment="1">
      <alignment horizontal="left" vertical="top"/>
    </xf>
    <xf numFmtId="0" fontId="14" fillId="0" borderId="15" xfId="1" applyFont="1" applyBorder="1" applyAlignment="1">
      <alignment horizontal="center" vertical="top" wrapText="1"/>
    </xf>
    <xf numFmtId="1" fontId="15" fillId="0" borderId="15" xfId="1" applyNumberFormat="1" applyFont="1" applyBorder="1" applyAlignment="1">
      <alignment horizontal="center" vertical="top" shrinkToFit="1"/>
    </xf>
    <xf numFmtId="165" fontId="17" fillId="0" borderId="15" xfId="1" applyNumberFormat="1" applyFont="1" applyBorder="1" applyAlignment="1">
      <alignment horizontal="left" vertical="top" wrapText="1"/>
    </xf>
    <xf numFmtId="165" fontId="13" fillId="0" borderId="13" xfId="1" applyNumberFormat="1" applyFont="1" applyBorder="1" applyAlignment="1">
      <alignment horizontal="left" vertical="top"/>
    </xf>
    <xf numFmtId="0" fontId="18" fillId="0" borderId="15" xfId="1" applyFont="1" applyBorder="1" applyAlignment="1">
      <alignment horizontal="left" vertical="top" wrapText="1"/>
    </xf>
    <xf numFmtId="0" fontId="17" fillId="0" borderId="15" xfId="1" applyFont="1" applyBorder="1" applyAlignment="1">
      <alignment horizontal="left" vertical="top" wrapText="1"/>
    </xf>
    <xf numFmtId="0" fontId="19" fillId="0" borderId="15" xfId="1" applyFont="1" applyBorder="1" applyAlignment="1">
      <alignment horizontal="left" vertical="top" wrapText="1"/>
    </xf>
  </cellXfs>
  <cellStyles count="2">
    <cellStyle name="Normal" xfId="0" builtinId="0"/>
    <cellStyle name="Normal 2" xfId="1" xr:uid="{BE5983FF-22C5-4B8B-ABBA-9595AD0D67B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2057400</xdr:colOff>
      <xdr:row>5</xdr:row>
      <xdr:rowOff>0</xdr:rowOff>
    </xdr:from>
    <xdr:ext cx="2324100" cy="200025"/>
    <xdr:sp macro="" textlink="">
      <xdr:nvSpPr>
        <xdr:cNvPr id="2" name="Shape 3">
          <a:extLst>
            <a:ext uri="{FF2B5EF4-FFF2-40B4-BE49-F238E27FC236}">
              <a16:creationId xmlns:a16="http://schemas.microsoft.com/office/drawing/2014/main" id="{0555BCAC-B372-43E7-A26F-FEE6EC5FFBFF}"/>
            </a:ext>
          </a:extLst>
        </xdr:cNvPr>
        <xdr:cNvSpPr/>
      </xdr:nvSpPr>
      <xdr:spPr>
        <a:xfrm>
          <a:off x="2886075" y="952500"/>
          <a:ext cx="2324100" cy="200025"/>
        </a:xfrm>
        <a:prstGeom prst="roundRect">
          <a:avLst>
            <a:gd name="adj" fmla="val 16667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27425" tIns="2285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800"/>
            <a:buFont typeface="Arial" panose="020B0604020202020204"/>
            <a:buNone/>
          </a:pPr>
          <a:r>
            <a:rPr lang="en-US" sz="800" b="0" i="0" strike="noStrike">
              <a:solidFill>
                <a:srgbClr val="000000"/>
              </a:solidFill>
              <a:latin typeface="Arial" panose="020B0604020202020204"/>
              <a:ea typeface="Arial" panose="020B0604020202020204"/>
              <a:cs typeface="Arial" panose="020B0604020202020204"/>
              <a:sym typeface="Arial" panose="020B0604020202020204"/>
            </a:rPr>
            <a:t>DIA                         MES                           AÑO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800"/>
            <a:buFont typeface="Arial" panose="020B0604020202020204"/>
            <a:buNone/>
          </a:pPr>
          <a:r>
            <a:rPr lang="en-US" sz="800" b="0" i="0" strike="noStrike">
              <a:solidFill>
                <a:srgbClr val="000000"/>
              </a:solidFill>
              <a:latin typeface="Arial" panose="020B0604020202020204"/>
              <a:ea typeface="Arial" panose="020B0604020202020204"/>
              <a:cs typeface="Arial" panose="020B0604020202020204"/>
              <a:sym typeface="Arial" panose="020B0604020202020204"/>
            </a:rPr>
            <a:t>                                          </a:t>
          </a:r>
          <a:endParaRPr sz="1400"/>
        </a:p>
      </xdr:txBody>
    </xdr:sp>
    <xdr:clientData fLocksWithSheet="0"/>
  </xdr:oneCellAnchor>
  <xdr:oneCellAnchor>
    <xdr:from>
      <xdr:col>2</xdr:col>
      <xdr:colOff>1644162</xdr:colOff>
      <xdr:row>18</xdr:row>
      <xdr:rowOff>128954</xdr:rowOff>
    </xdr:from>
    <xdr:ext cx="2809875" cy="628650"/>
    <xdr:sp macro="" textlink="">
      <xdr:nvSpPr>
        <xdr:cNvPr id="3" name="Shape 4">
          <a:extLst>
            <a:ext uri="{FF2B5EF4-FFF2-40B4-BE49-F238E27FC236}">
              <a16:creationId xmlns:a16="http://schemas.microsoft.com/office/drawing/2014/main" id="{0CA3AC8C-589C-4461-9934-E01F6CD842B2}"/>
            </a:ext>
          </a:extLst>
        </xdr:cNvPr>
        <xdr:cNvSpPr/>
      </xdr:nvSpPr>
      <xdr:spPr>
        <a:xfrm>
          <a:off x="3156439" y="2614246"/>
          <a:ext cx="2809875" cy="628650"/>
        </a:xfrm>
        <a:prstGeom prst="roundRect">
          <a:avLst>
            <a:gd name="adj" fmla="val 16667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27425" tIns="18275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700"/>
            <a:buFont typeface="Arial Narrow" panose="020B0606020202030204"/>
            <a:buNone/>
          </a:pPr>
          <a:r>
            <a:rPr lang="en-US" sz="700" b="0" i="0" strike="noStrike">
              <a:solidFill>
                <a:srgbClr val="000000"/>
              </a:solidFill>
              <a:latin typeface="Arial Narrow" panose="020B0606020202030204"/>
              <a:ea typeface="Arial Narrow" panose="020B0606020202030204"/>
              <a:cs typeface="Arial Narrow" panose="020B0606020202030204"/>
              <a:sym typeface="Arial Narrow" panose="020B0606020202030204"/>
            </a:rPr>
            <a:t>Recibido por: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700"/>
            <a:buFont typeface="Arial" panose="020B0604020202020204"/>
            <a:buNone/>
          </a:pPr>
          <a:endParaRPr sz="700" b="0" i="0" strike="noStrike">
            <a:solidFill>
              <a:srgbClr val="000000"/>
            </a:solidFill>
            <a:latin typeface="Arial Narrow" panose="020B0606020202030204"/>
            <a:ea typeface="Arial Narrow" panose="020B0606020202030204"/>
            <a:cs typeface="Arial Narrow" panose="020B0606020202030204"/>
            <a:sym typeface="Arial Narrow" panose="020B0606020202030204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700"/>
            <a:buFont typeface="Arial" panose="020B0604020202020204"/>
            <a:buNone/>
          </a:pPr>
          <a:endParaRPr sz="700" b="0" i="0" strike="noStrike">
            <a:solidFill>
              <a:srgbClr val="000000"/>
            </a:solidFill>
            <a:latin typeface="Arial Narrow" panose="020B0606020202030204"/>
            <a:ea typeface="Arial Narrow" panose="020B0606020202030204"/>
            <a:cs typeface="Arial Narrow" panose="020B0606020202030204"/>
            <a:sym typeface="Arial Narrow" panose="020B0606020202030204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700"/>
            <a:buFont typeface="Arial Narrow" panose="020B0606020202030204"/>
            <a:buNone/>
          </a:pPr>
          <a:r>
            <a:rPr lang="en-US" sz="700" b="0" i="0" strike="noStrike">
              <a:solidFill>
                <a:srgbClr val="000000"/>
              </a:solidFill>
              <a:latin typeface="Arial Narrow" panose="020B0606020202030204"/>
              <a:ea typeface="Arial Narrow" panose="020B0606020202030204"/>
              <a:cs typeface="Arial Narrow" panose="020B0606020202030204"/>
              <a:sym typeface="Arial Narrow" panose="020B0606020202030204"/>
            </a:rPr>
            <a:t>Cédula o Nit: </a:t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18</xdr:row>
      <xdr:rowOff>114300</xdr:rowOff>
    </xdr:from>
    <xdr:ext cx="1476375" cy="638175"/>
    <xdr:sp macro="" textlink="">
      <xdr:nvSpPr>
        <xdr:cNvPr id="4" name="Shape 5">
          <a:extLst>
            <a:ext uri="{FF2B5EF4-FFF2-40B4-BE49-F238E27FC236}">
              <a16:creationId xmlns:a16="http://schemas.microsoft.com/office/drawing/2014/main" id="{A85299B3-B471-48A4-812A-1037D1AAE37B}"/>
            </a:ext>
          </a:extLst>
        </xdr:cNvPr>
        <xdr:cNvSpPr/>
      </xdr:nvSpPr>
      <xdr:spPr>
        <a:xfrm>
          <a:off x="0" y="3543300"/>
          <a:ext cx="1476375" cy="638175"/>
        </a:xfrm>
        <a:prstGeom prst="roundRect">
          <a:avLst>
            <a:gd name="adj" fmla="val 16667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27425" tIns="18275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700"/>
            <a:buFont typeface="Arial Narrow" panose="020B0606020202030204"/>
            <a:buNone/>
          </a:pPr>
          <a:r>
            <a:rPr lang="en-US" sz="700" b="0" i="0" strike="noStrike">
              <a:solidFill>
                <a:srgbClr val="000000"/>
              </a:solidFill>
              <a:latin typeface="Arial Narrow" panose="020B0606020202030204"/>
              <a:ea typeface="Arial Narrow" panose="020B0606020202030204"/>
              <a:cs typeface="Arial Narrow" panose="020B0606020202030204"/>
              <a:sym typeface="Arial Narrow" panose="020B0606020202030204"/>
            </a:rPr>
            <a:t>Preparado:</a:t>
          </a:r>
          <a:endParaRPr sz="1400"/>
        </a:p>
      </xdr:txBody>
    </xdr:sp>
    <xdr:clientData fLocksWithSheet="0"/>
  </xdr:oneCellAnchor>
  <xdr:oneCellAnchor>
    <xdr:from>
      <xdr:col>1</xdr:col>
      <xdr:colOff>676275</xdr:colOff>
      <xdr:row>1</xdr:row>
      <xdr:rowOff>104775</xdr:rowOff>
    </xdr:from>
    <xdr:ext cx="1704975" cy="238125"/>
    <xdr:sp macro="" textlink="">
      <xdr:nvSpPr>
        <xdr:cNvPr id="5" name="Shape 6">
          <a:extLst>
            <a:ext uri="{FF2B5EF4-FFF2-40B4-BE49-F238E27FC236}">
              <a16:creationId xmlns:a16="http://schemas.microsoft.com/office/drawing/2014/main" id="{D7E389DA-1525-45EF-BC04-376F878AFBC8}"/>
            </a:ext>
          </a:extLst>
        </xdr:cNvPr>
        <xdr:cNvSpPr/>
      </xdr:nvSpPr>
      <xdr:spPr>
        <a:xfrm>
          <a:off x="1638300" y="295275"/>
          <a:ext cx="1704975" cy="238125"/>
        </a:xfrm>
        <a:prstGeom prst="roundRect">
          <a:avLst>
            <a:gd name="adj" fmla="val 16667"/>
          </a:avLst>
        </a:prstGeom>
        <a:solidFill>
          <a:srgbClr val="FFFFFF"/>
        </a:solidFill>
        <a:ln>
          <a:noFill/>
        </a:ln>
      </xdr:spPr>
      <xdr:txBody>
        <a:bodyPr spcFirstLastPara="1" wrap="square" lIns="27425" tIns="27425" rIns="27425" bIns="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200"/>
            <a:buFont typeface="Arial" panose="020B0604020202020204"/>
            <a:buNone/>
          </a:pPr>
          <a:endParaRPr sz="1200" b="0" i="0" strike="noStrike">
            <a:solidFill>
              <a:srgbClr val="000000"/>
            </a:solidFill>
            <a:latin typeface="Arial" panose="020B0604020202020204"/>
            <a:ea typeface="Arial" panose="020B0604020202020204"/>
            <a:cs typeface="Arial" panose="020B0604020202020204"/>
            <a:sym typeface="Arial" panose="020B0604020202020204"/>
          </a:endParaRPr>
        </a:p>
      </xdr:txBody>
    </xdr:sp>
    <xdr:clientData fLocksWithSheet="0"/>
  </xdr:oneCellAnchor>
  <xdr:oneCellAnchor>
    <xdr:from>
      <xdr:col>2</xdr:col>
      <xdr:colOff>85725</xdr:colOff>
      <xdr:row>18</xdr:row>
      <xdr:rowOff>123825</xdr:rowOff>
    </xdr:from>
    <xdr:ext cx="1476375" cy="638175"/>
    <xdr:sp macro="" textlink="">
      <xdr:nvSpPr>
        <xdr:cNvPr id="6" name="Shape 7">
          <a:extLst>
            <a:ext uri="{FF2B5EF4-FFF2-40B4-BE49-F238E27FC236}">
              <a16:creationId xmlns:a16="http://schemas.microsoft.com/office/drawing/2014/main" id="{894907FD-54D3-49B2-9814-C6E05C4C56E1}"/>
            </a:ext>
          </a:extLst>
        </xdr:cNvPr>
        <xdr:cNvSpPr/>
      </xdr:nvSpPr>
      <xdr:spPr>
        <a:xfrm>
          <a:off x="2009775" y="3552825"/>
          <a:ext cx="1476375" cy="638175"/>
        </a:xfrm>
        <a:prstGeom prst="roundRect">
          <a:avLst>
            <a:gd name="adj" fmla="val 16667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27425" tIns="18275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700"/>
            <a:buFont typeface="Arial Narrow" panose="020B0606020202030204"/>
            <a:buNone/>
          </a:pPr>
          <a:r>
            <a:rPr lang="en-US" sz="700" b="0" i="0" strike="noStrike">
              <a:solidFill>
                <a:srgbClr val="000000"/>
              </a:solidFill>
              <a:latin typeface="Arial Narrow" panose="020B0606020202030204"/>
              <a:ea typeface="Arial Narrow" panose="020B0606020202030204"/>
              <a:cs typeface="Arial Narrow" panose="020B0606020202030204"/>
              <a:sym typeface="Arial Narrow" panose="020B0606020202030204"/>
            </a:rPr>
            <a:t>Aprobado:</a:t>
          </a:r>
          <a:endParaRPr sz="1400"/>
        </a:p>
      </xdr:txBody>
    </xdr:sp>
    <xdr:clientData fLocksWithSheet="0"/>
  </xdr:oneCellAnchor>
  <xdr:oneCellAnchor>
    <xdr:from>
      <xdr:col>0</xdr:col>
      <xdr:colOff>28575</xdr:colOff>
      <xdr:row>0</xdr:row>
      <xdr:rowOff>9525</xdr:rowOff>
    </xdr:from>
    <xdr:ext cx="5772150" cy="152400"/>
    <xdr:sp macro="" textlink="">
      <xdr:nvSpPr>
        <xdr:cNvPr id="7" name="Shape 8">
          <a:extLst>
            <a:ext uri="{FF2B5EF4-FFF2-40B4-BE49-F238E27FC236}">
              <a16:creationId xmlns:a16="http://schemas.microsoft.com/office/drawing/2014/main" id="{2D3C7151-4F86-4268-BB0F-21D888CA3FE7}"/>
            </a:ext>
          </a:extLst>
        </xdr:cNvPr>
        <xdr:cNvSpPr/>
      </xdr:nvSpPr>
      <xdr:spPr>
        <a:xfrm>
          <a:off x="28575" y="9525"/>
          <a:ext cx="5772150" cy="152400"/>
        </a:xfrm>
        <a:prstGeom prst="roundRect">
          <a:avLst>
            <a:gd name="adj" fmla="val 16667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0" tIns="22850" rIns="27425" bIns="0" anchor="t" anchorCtr="0">
          <a:noAutofit/>
        </a:bodyPr>
        <a:lstStyle/>
        <a:p>
          <a:pPr marL="0" lvl="0" indent="0" algn="r" rtl="0">
            <a:spcBef>
              <a:spcPts val="0"/>
            </a:spcBef>
            <a:spcAft>
              <a:spcPts val="0"/>
            </a:spcAft>
            <a:buSzPts val="1000"/>
            <a:buFont typeface="Arial" panose="020B0604020202020204"/>
            <a:buNone/>
          </a:pPr>
          <a:endParaRPr sz="1000" b="0" i="0" strike="noStrike">
            <a:solidFill>
              <a:srgbClr val="000000"/>
            </a:solidFill>
            <a:latin typeface="Arial" panose="020B0604020202020204"/>
            <a:ea typeface="Arial" panose="020B0604020202020204"/>
            <a:cs typeface="Arial" panose="020B0604020202020204"/>
            <a:sym typeface="Arial" panose="020B0604020202020204"/>
          </a:endParaRPr>
        </a:p>
        <a:p>
          <a:pPr marL="0" lvl="0" indent="0" algn="r" rtl="0">
            <a:spcBef>
              <a:spcPts val="0"/>
            </a:spcBef>
            <a:spcAft>
              <a:spcPts val="0"/>
            </a:spcAft>
            <a:buSzPts val="1000"/>
            <a:buFont typeface="Arial" panose="020B0604020202020204"/>
            <a:buNone/>
          </a:pPr>
          <a:endParaRPr sz="1000" b="0" i="0" strike="noStrike">
            <a:solidFill>
              <a:srgbClr val="000000"/>
            </a:solidFill>
            <a:latin typeface="Arial" panose="020B0604020202020204"/>
            <a:ea typeface="Arial" panose="020B0604020202020204"/>
            <a:cs typeface="Arial" panose="020B0604020202020204"/>
            <a:sym typeface="Arial" panose="020B0604020202020204"/>
          </a:endParaRPr>
        </a:p>
      </xdr:txBody>
    </xdr:sp>
    <xdr:clientData fLocksWithSheet="0"/>
  </xdr:oneCellAnchor>
  <xdr:oneCellAnchor>
    <xdr:from>
      <xdr:col>0</xdr:col>
      <xdr:colOff>0</xdr:colOff>
      <xdr:row>12</xdr:row>
      <xdr:rowOff>180975</xdr:rowOff>
    </xdr:from>
    <xdr:ext cx="1885950" cy="142875"/>
    <xdr:sp macro="" textlink="">
      <xdr:nvSpPr>
        <xdr:cNvPr id="8" name="Shape 9">
          <a:extLst>
            <a:ext uri="{FF2B5EF4-FFF2-40B4-BE49-F238E27FC236}">
              <a16:creationId xmlns:a16="http://schemas.microsoft.com/office/drawing/2014/main" id="{A6AFC6D6-30ED-4796-A4D0-72B67AC657E0}"/>
            </a:ext>
          </a:extLst>
        </xdr:cNvPr>
        <xdr:cNvSpPr/>
      </xdr:nvSpPr>
      <xdr:spPr>
        <a:xfrm>
          <a:off x="0" y="2466975"/>
          <a:ext cx="1885950" cy="142875"/>
        </a:xfrm>
        <a:prstGeom prst="roundRect">
          <a:avLst>
            <a:gd name="adj" fmla="val 16667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27425" tIns="27425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800"/>
            <a:buFont typeface="Arial Narrow" panose="020B0606020202030204"/>
            <a:buNone/>
          </a:pPr>
          <a:r>
            <a:rPr lang="en-US" sz="800" b="0" i="0" strike="noStrike">
              <a:solidFill>
                <a:srgbClr val="000000"/>
              </a:solidFill>
              <a:latin typeface="Arial Narrow" panose="020B0606020202030204"/>
              <a:ea typeface="Arial Narrow" panose="020B0606020202030204"/>
              <a:cs typeface="Arial Narrow" panose="020B0606020202030204"/>
              <a:sym typeface="Arial Narrow" panose="020B0606020202030204"/>
            </a:rPr>
            <a:t>Cheque o retiro No.</a:t>
          </a:r>
          <a:endParaRPr sz="1400"/>
        </a:p>
      </xdr:txBody>
    </xdr:sp>
    <xdr:clientData fLocksWithSheet="0"/>
  </xdr:oneCellAnchor>
  <xdr:oneCellAnchor>
    <xdr:from>
      <xdr:col>2</xdr:col>
      <xdr:colOff>390525</xdr:colOff>
      <xdr:row>13</xdr:row>
      <xdr:rowOff>0</xdr:rowOff>
    </xdr:from>
    <xdr:ext cx="2133600" cy="171450"/>
    <xdr:sp macro="" textlink="">
      <xdr:nvSpPr>
        <xdr:cNvPr id="9" name="Shape 10">
          <a:extLst>
            <a:ext uri="{FF2B5EF4-FFF2-40B4-BE49-F238E27FC236}">
              <a16:creationId xmlns:a16="http://schemas.microsoft.com/office/drawing/2014/main" id="{AF2D0AD2-7FA8-4900-B032-A507D1C9D2F4}"/>
            </a:ext>
          </a:extLst>
        </xdr:cNvPr>
        <xdr:cNvSpPr/>
      </xdr:nvSpPr>
      <xdr:spPr>
        <a:xfrm>
          <a:off x="2314575" y="2476500"/>
          <a:ext cx="2133600" cy="171450"/>
        </a:xfrm>
        <a:prstGeom prst="roundRect">
          <a:avLst>
            <a:gd name="adj" fmla="val 16667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27425" tIns="27425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800"/>
            <a:buFont typeface="Arial Narrow" panose="020B0606020202030204"/>
            <a:buNone/>
          </a:pPr>
          <a:r>
            <a:rPr lang="en-US" sz="800" b="0" i="0" strike="noStrike">
              <a:solidFill>
                <a:srgbClr val="000000"/>
              </a:solidFill>
              <a:latin typeface="Arial Narrow" panose="020B0606020202030204"/>
              <a:ea typeface="Arial Narrow" panose="020B0606020202030204"/>
              <a:cs typeface="Arial Narrow" panose="020B0606020202030204"/>
              <a:sym typeface="Arial Narrow" panose="020B0606020202030204"/>
            </a:rPr>
            <a:t>Banco: </a:t>
          </a:r>
          <a:endParaRPr sz="1400"/>
        </a:p>
      </xdr:txBody>
    </xdr:sp>
    <xdr:clientData fLocksWithSheet="0"/>
  </xdr:oneCellAnchor>
  <xdr:oneCellAnchor>
    <xdr:from>
      <xdr:col>0</xdr:col>
      <xdr:colOff>21981</xdr:colOff>
      <xdr:row>11</xdr:row>
      <xdr:rowOff>153866</xdr:rowOff>
    </xdr:from>
    <xdr:ext cx="3400425" cy="171450"/>
    <xdr:sp macro="" textlink="">
      <xdr:nvSpPr>
        <xdr:cNvPr id="10" name="Shape 11">
          <a:extLst>
            <a:ext uri="{FF2B5EF4-FFF2-40B4-BE49-F238E27FC236}">
              <a16:creationId xmlns:a16="http://schemas.microsoft.com/office/drawing/2014/main" id="{986234FD-4DC1-498B-A758-C5B669FBF051}"/>
            </a:ext>
          </a:extLst>
        </xdr:cNvPr>
        <xdr:cNvSpPr/>
      </xdr:nvSpPr>
      <xdr:spPr>
        <a:xfrm>
          <a:off x="21981" y="2249366"/>
          <a:ext cx="3400425" cy="171450"/>
        </a:xfrm>
        <a:prstGeom prst="roundRect">
          <a:avLst>
            <a:gd name="adj" fmla="val 16667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27425" tIns="27425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800"/>
            <a:buFont typeface="Arial Narrow" panose="020B0606020202030204"/>
            <a:buNone/>
          </a:pPr>
          <a:r>
            <a:rPr lang="en-US" sz="800" b="0" i="0" strike="noStrike">
              <a:solidFill>
                <a:srgbClr val="000000"/>
              </a:solidFill>
              <a:latin typeface="Arial Narrow" panose="020B0606020202030204"/>
              <a:ea typeface="Arial Narrow" panose="020B0606020202030204"/>
              <a:cs typeface="Arial Narrow" panose="020B0606020202030204"/>
              <a:sym typeface="Arial Narrow" panose="020B0606020202030204"/>
            </a:rPr>
            <a:t>Transferencia o pago virtual No.</a:t>
          </a:r>
          <a:endParaRPr sz="1400"/>
        </a:p>
      </xdr:txBody>
    </xdr:sp>
    <xdr:clientData fLocksWithSheet="0"/>
  </xdr:oneCellAnchor>
  <xdr:oneCellAnchor>
    <xdr:from>
      <xdr:col>2</xdr:col>
      <xdr:colOff>1533525</xdr:colOff>
      <xdr:row>12</xdr:row>
      <xdr:rowOff>0</xdr:rowOff>
    </xdr:from>
    <xdr:ext cx="276225" cy="171450"/>
    <xdr:sp macro="" textlink="">
      <xdr:nvSpPr>
        <xdr:cNvPr id="11" name="Shape 12">
          <a:extLst>
            <a:ext uri="{FF2B5EF4-FFF2-40B4-BE49-F238E27FC236}">
              <a16:creationId xmlns:a16="http://schemas.microsoft.com/office/drawing/2014/main" id="{D8ADF5F0-B291-4DF3-9618-2FB7CE66D9D9}"/>
            </a:ext>
          </a:extLst>
        </xdr:cNvPr>
        <xdr:cNvSpPr/>
      </xdr:nvSpPr>
      <xdr:spPr>
        <a:xfrm>
          <a:off x="2886075" y="2286000"/>
          <a:ext cx="276225" cy="171450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 panose="020B0604020202020204"/>
            <a:buNone/>
          </a:pPr>
          <a:endParaRPr sz="1400"/>
        </a:p>
      </xdr:txBody>
    </xdr:sp>
    <xdr:clientData fLocksWithSheet="0"/>
  </xdr:oneCellAnchor>
  <xdr:oneCellAnchor>
    <xdr:from>
      <xdr:col>2</xdr:col>
      <xdr:colOff>57150</xdr:colOff>
      <xdr:row>13</xdr:row>
      <xdr:rowOff>9525</xdr:rowOff>
    </xdr:from>
    <xdr:ext cx="276225" cy="171450"/>
    <xdr:sp macro="" textlink="">
      <xdr:nvSpPr>
        <xdr:cNvPr id="12" name="Shape 12">
          <a:extLst>
            <a:ext uri="{FF2B5EF4-FFF2-40B4-BE49-F238E27FC236}">
              <a16:creationId xmlns:a16="http://schemas.microsoft.com/office/drawing/2014/main" id="{F0E26C84-C76B-48AC-BD00-F765EEA4DC60}"/>
            </a:ext>
          </a:extLst>
        </xdr:cNvPr>
        <xdr:cNvSpPr/>
      </xdr:nvSpPr>
      <xdr:spPr>
        <a:xfrm>
          <a:off x="1981200" y="2486025"/>
          <a:ext cx="276225" cy="171450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 panose="020B0604020202020204"/>
            <a:buNone/>
          </a:pPr>
          <a:endParaRPr sz="1400"/>
        </a:p>
      </xdr:txBody>
    </xdr:sp>
    <xdr:clientData fLocksWithSheet="0"/>
  </xdr:oneCellAnchor>
  <xdr:oneCellAnchor>
    <xdr:from>
      <xdr:col>2</xdr:col>
      <xdr:colOff>1943100</xdr:colOff>
      <xdr:row>12</xdr:row>
      <xdr:rowOff>0</xdr:rowOff>
    </xdr:from>
    <xdr:ext cx="1266825" cy="171450"/>
    <xdr:sp macro="" textlink="">
      <xdr:nvSpPr>
        <xdr:cNvPr id="13" name="Shape 13">
          <a:extLst>
            <a:ext uri="{FF2B5EF4-FFF2-40B4-BE49-F238E27FC236}">
              <a16:creationId xmlns:a16="http://schemas.microsoft.com/office/drawing/2014/main" id="{AC67217B-CB7F-4A5A-94B7-5D08FB18ACDC}"/>
            </a:ext>
          </a:extLst>
        </xdr:cNvPr>
        <xdr:cNvSpPr/>
      </xdr:nvSpPr>
      <xdr:spPr>
        <a:xfrm>
          <a:off x="2886075" y="2286000"/>
          <a:ext cx="1266825" cy="171450"/>
        </a:xfrm>
        <a:prstGeom prst="roundRect">
          <a:avLst>
            <a:gd name="adj" fmla="val 16667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27425" tIns="27425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800"/>
            <a:buFont typeface="Arial Narrow" panose="020B0606020202030204"/>
            <a:buNone/>
          </a:pPr>
          <a:r>
            <a:rPr lang="en-US" sz="800" b="0" i="0" strike="noStrike">
              <a:solidFill>
                <a:srgbClr val="000000"/>
              </a:solidFill>
              <a:latin typeface="Arial Narrow" panose="020B0606020202030204"/>
              <a:ea typeface="Arial Narrow" panose="020B0606020202030204"/>
              <a:cs typeface="Arial Narrow" panose="020B0606020202030204"/>
              <a:sym typeface="Arial Narrow" panose="020B0606020202030204"/>
            </a:rPr>
            <a:t>Tarjeta de Crédito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800"/>
            <a:buFont typeface="Arial Narrow" panose="020B0606020202030204"/>
            <a:buNone/>
          </a:pPr>
          <a:r>
            <a:rPr lang="en-US" sz="800" b="0" i="0" strike="noStrike">
              <a:solidFill>
                <a:srgbClr val="000000"/>
              </a:solidFill>
              <a:latin typeface="Arial Narrow" panose="020B0606020202030204"/>
              <a:ea typeface="Arial Narrow" panose="020B0606020202030204"/>
              <a:cs typeface="Arial Narrow" panose="020B0606020202030204"/>
              <a:sym typeface="Arial Narrow" panose="020B0606020202030204"/>
            </a:rPr>
            <a:t> </a:t>
          </a:r>
          <a:endParaRPr sz="1400"/>
        </a:p>
      </xdr:txBody>
    </xdr:sp>
    <xdr:clientData fLocksWithSheet="0"/>
  </xdr:oneCellAnchor>
  <xdr:oneCellAnchor>
    <xdr:from>
      <xdr:col>3</xdr:col>
      <xdr:colOff>771525</xdr:colOff>
      <xdr:row>12</xdr:row>
      <xdr:rowOff>9525</xdr:rowOff>
    </xdr:from>
    <xdr:ext cx="276225" cy="171450"/>
    <xdr:sp macro="" textlink="">
      <xdr:nvSpPr>
        <xdr:cNvPr id="14" name="Shape 12">
          <a:extLst>
            <a:ext uri="{FF2B5EF4-FFF2-40B4-BE49-F238E27FC236}">
              <a16:creationId xmlns:a16="http://schemas.microsoft.com/office/drawing/2014/main" id="{29F9B63D-C0AB-463F-8EEB-B4FFF8632968}"/>
            </a:ext>
          </a:extLst>
        </xdr:cNvPr>
        <xdr:cNvSpPr/>
      </xdr:nvSpPr>
      <xdr:spPr>
        <a:xfrm>
          <a:off x="3657600" y="2295525"/>
          <a:ext cx="276225" cy="171450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 panose="020B0604020202020204"/>
            <a:buNone/>
          </a:pPr>
          <a:endParaRPr sz="1400"/>
        </a:p>
      </xdr:txBody>
    </xdr:sp>
    <xdr:clientData fLocksWithSheet="0"/>
  </xdr:oneCellAnchor>
  <xdr:oneCellAnchor>
    <xdr:from>
      <xdr:col>3</xdr:col>
      <xdr:colOff>7327</xdr:colOff>
      <xdr:row>4</xdr:row>
      <xdr:rowOff>137014</xdr:rowOff>
    </xdr:from>
    <xdr:ext cx="2238375" cy="238125"/>
    <xdr:sp macro="" textlink="">
      <xdr:nvSpPr>
        <xdr:cNvPr id="15" name="Shape 14">
          <a:extLst>
            <a:ext uri="{FF2B5EF4-FFF2-40B4-BE49-F238E27FC236}">
              <a16:creationId xmlns:a16="http://schemas.microsoft.com/office/drawing/2014/main" id="{12234405-A077-48FB-9D29-F81244640EDA}"/>
            </a:ext>
          </a:extLst>
        </xdr:cNvPr>
        <xdr:cNvSpPr txBox="1"/>
      </xdr:nvSpPr>
      <xdr:spPr>
        <a:xfrm>
          <a:off x="3670789" y="770060"/>
          <a:ext cx="2238375" cy="2381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 panose="020F0502020204030204"/>
            <a:buNone/>
          </a:pPr>
          <a:r>
            <a:rPr lang="en-US" sz="1100">
              <a:solidFill>
                <a:schemeClr val="dk1"/>
              </a:solidFill>
              <a:latin typeface="Calibri" panose="020F0502020204030204"/>
              <a:ea typeface="Calibri" panose="020F0502020204030204"/>
              <a:cs typeface="Calibri" panose="020F0502020204030204"/>
              <a:sym typeface="Calibri" panose="020F0502020204030204"/>
            </a:rPr>
            <a:t>17              09                    2026</a:t>
          </a:r>
          <a:endParaRPr sz="1400"/>
        </a:p>
      </xdr:txBody>
    </xdr:sp>
    <xdr:clientData fLocksWithSheet="0"/>
  </xdr:oneCellAnchor>
  <xdr:oneCellAnchor>
    <xdr:from>
      <xdr:col>0</xdr:col>
      <xdr:colOff>28575</xdr:colOff>
      <xdr:row>1</xdr:row>
      <xdr:rowOff>104775</xdr:rowOff>
    </xdr:from>
    <xdr:ext cx="2867025" cy="238125"/>
    <xdr:sp macro="" textlink="">
      <xdr:nvSpPr>
        <xdr:cNvPr id="16" name="Shape 15">
          <a:extLst>
            <a:ext uri="{FF2B5EF4-FFF2-40B4-BE49-F238E27FC236}">
              <a16:creationId xmlns:a16="http://schemas.microsoft.com/office/drawing/2014/main" id="{FF08B6BC-F084-48EF-809B-98A5F4E50D63}"/>
            </a:ext>
          </a:extLst>
        </xdr:cNvPr>
        <xdr:cNvSpPr/>
      </xdr:nvSpPr>
      <xdr:spPr>
        <a:xfrm>
          <a:off x="28575" y="295275"/>
          <a:ext cx="2867025" cy="238125"/>
        </a:xfrm>
        <a:prstGeom prst="roundRect">
          <a:avLst>
            <a:gd name="adj" fmla="val 16667"/>
          </a:avLst>
        </a:prstGeom>
        <a:solidFill>
          <a:srgbClr val="FFFFFF"/>
        </a:solidFill>
        <a:ln>
          <a:noFill/>
        </a:ln>
      </xdr:spPr>
      <xdr:txBody>
        <a:bodyPr spcFirstLastPara="1" wrap="square" lIns="27425" tIns="27425" rIns="27425" bIns="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SzPts val="1050"/>
            <a:buFont typeface="Arial" panose="020B0604020202020204"/>
            <a:buNone/>
          </a:pPr>
          <a:r>
            <a:rPr lang="en-US" sz="1050" b="1"/>
            <a:t>SOLUCIONES  INMOBILIARIAS 360</a:t>
          </a:r>
          <a:endParaRPr sz="1400"/>
        </a:p>
        <a:p>
          <a:pPr marL="0" lvl="0" indent="0" algn="ctr" rtl="0">
            <a:spcBef>
              <a:spcPts val="0"/>
            </a:spcBef>
            <a:spcAft>
              <a:spcPts val="0"/>
            </a:spcAft>
            <a:buSzPts val="1050"/>
            <a:buFont typeface="Arial" panose="020B0604020202020204"/>
            <a:buNone/>
          </a:pPr>
          <a:endParaRPr sz="1050" b="0" i="0" strike="noStrike">
            <a:solidFill>
              <a:srgbClr val="000000"/>
            </a:solidFill>
            <a:latin typeface="Arial" panose="020B0604020202020204"/>
            <a:ea typeface="Arial" panose="020B0604020202020204"/>
            <a:cs typeface="Arial" panose="020B0604020202020204"/>
            <a:sym typeface="Arial" panose="020B0604020202020204"/>
          </a:endParaRPr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628650</xdr:colOff>
      <xdr:row>0</xdr:row>
      <xdr:rowOff>133350</xdr:rowOff>
    </xdr:from>
    <xdr:ext cx="2295525" cy="1162050"/>
    <xdr:pic>
      <xdr:nvPicPr>
        <xdr:cNvPr id="2" name="image1.jpg">
          <a:extLst>
            <a:ext uri="{FF2B5EF4-FFF2-40B4-BE49-F238E27FC236}">
              <a16:creationId xmlns:a16="http://schemas.microsoft.com/office/drawing/2014/main" id="{9B517CEE-DACD-491E-B1F4-F2F573588F25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28650" y="133350"/>
          <a:ext cx="2295525" cy="116205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mailto:solucioninmobiliaria360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98B629-ADB9-4850-9747-F8D4BCCAFA99}">
  <sheetPr>
    <tabColor theme="5" tint="0.59999389629810485"/>
  </sheetPr>
  <dimension ref="A1:Z1001"/>
  <sheetViews>
    <sheetView tabSelected="1" zoomScale="130" zoomScaleNormal="130" workbookViewId="0">
      <selection activeCell="G5" sqref="G5"/>
    </sheetView>
  </sheetViews>
  <sheetFormatPr baseColWidth="10" defaultColWidth="14.44140625" defaultRowHeight="15" customHeight="1"/>
  <cols>
    <col min="1" max="1" width="10.5546875" customWidth="1"/>
    <col min="2" max="2" width="11.44140625" customWidth="1"/>
    <col min="3" max="3" width="31.33203125" customWidth="1"/>
    <col min="4" max="4" width="15.5546875" customWidth="1"/>
    <col min="5" max="5" width="28.109375" customWidth="1"/>
    <col min="6" max="26" width="11.44140625" customWidth="1"/>
  </cols>
  <sheetData>
    <row r="1" spans="1:26" ht="12.75" customHeight="1">
      <c r="A1" s="57"/>
      <c r="B1" s="44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2.75" customHeight="1">
      <c r="A2" s="44"/>
      <c r="B2" s="44"/>
      <c r="C2" s="58"/>
      <c r="D2" s="59" t="s">
        <v>10</v>
      </c>
      <c r="E2" s="60" t="s">
        <v>9</v>
      </c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2.75" customHeight="1">
      <c r="A3" s="44"/>
      <c r="B3" s="44"/>
      <c r="C3" s="44"/>
      <c r="D3" s="39"/>
      <c r="E3" s="39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2.75" customHeight="1">
      <c r="A4" s="11"/>
      <c r="B4" s="11"/>
      <c r="C4" s="10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2.75" customHeight="1">
      <c r="A5" s="9" t="s">
        <v>8</v>
      </c>
      <c r="B5" s="56" t="s">
        <v>7</v>
      </c>
      <c r="C5" s="35"/>
      <c r="D5" s="35"/>
      <c r="E5" s="36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2.75" customHeight="1">
      <c r="A6" s="9" t="s">
        <v>6</v>
      </c>
      <c r="B6" s="55">
        <v>22108958</v>
      </c>
      <c r="C6" s="36"/>
      <c r="D6" s="56"/>
      <c r="E6" s="36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2.7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2.75" customHeight="1">
      <c r="A8" s="50" t="s">
        <v>5</v>
      </c>
      <c r="B8" s="35"/>
      <c r="C8" s="35"/>
      <c r="D8" s="36"/>
      <c r="E8" s="8" t="s">
        <v>4</v>
      </c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spans="1:26" ht="33.75" customHeight="1">
      <c r="A9" s="51" t="s">
        <v>3</v>
      </c>
      <c r="B9" s="52"/>
      <c r="C9" s="52"/>
      <c r="D9" s="53"/>
      <c r="E9" s="6">
        <f>3500000/30*15</f>
        <v>1750000</v>
      </c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spans="1:26" ht="12.75" customHeight="1">
      <c r="A10" s="51" t="s">
        <v>2</v>
      </c>
      <c r="B10" s="35"/>
      <c r="C10" s="35"/>
      <c r="D10" s="36"/>
      <c r="E10" s="6">
        <f>+E9*10%</f>
        <v>175000</v>
      </c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spans="1:26" ht="12.75" customHeight="1">
      <c r="A11" s="51"/>
      <c r="B11" s="52"/>
      <c r="C11" s="52"/>
      <c r="D11" s="53"/>
      <c r="E11" s="6">
        <v>0</v>
      </c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spans="1:26" ht="12.75" customHeight="1">
      <c r="A12" s="51"/>
      <c r="B12" s="35"/>
      <c r="C12" s="35"/>
      <c r="D12" s="36"/>
      <c r="E12" s="6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2.75" customHeight="1">
      <c r="A13" s="54"/>
      <c r="B13" s="35"/>
      <c r="C13" s="35"/>
      <c r="D13" s="36"/>
      <c r="E13" s="5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2.75" customHeight="1">
      <c r="A14" s="34" t="s">
        <v>1</v>
      </c>
      <c r="B14" s="35"/>
      <c r="C14" s="35"/>
      <c r="D14" s="36"/>
      <c r="E14" s="4">
        <f>E9-E10-E11-E12</f>
        <v>1575000</v>
      </c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2.75" hidden="1" customHeight="1">
      <c r="A15" s="37" t="s">
        <v>0</v>
      </c>
      <c r="B15" s="40"/>
      <c r="C15" s="41"/>
      <c r="D15" s="41"/>
      <c r="E15" s="42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2.75" hidden="1" customHeight="1">
      <c r="A16" s="38"/>
      <c r="B16" s="43"/>
      <c r="C16" s="44"/>
      <c r="D16" s="44"/>
      <c r="E16" s="45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2.75" hidden="1" customHeight="1">
      <c r="A17" s="38"/>
      <c r="B17" s="43"/>
      <c r="C17" s="44"/>
      <c r="D17" s="44"/>
      <c r="E17" s="45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2.75" hidden="1" customHeight="1">
      <c r="A18" s="39"/>
      <c r="B18" s="46"/>
      <c r="C18" s="47"/>
      <c r="D18" s="47"/>
      <c r="E18" s="48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2.75" customHeight="1">
      <c r="A19" s="1"/>
      <c r="B19" s="3"/>
      <c r="C19" s="2"/>
      <c r="D19" s="2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2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2.75" customHeight="1">
      <c r="A21" s="49"/>
      <c r="B21" s="44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2.75" customHeight="1">
      <c r="A22" s="44"/>
      <c r="B22" s="44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2.75" customHeight="1">
      <c r="A23" s="2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2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2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2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2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2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2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2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2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2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2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2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2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2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2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2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2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2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2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2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2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2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2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2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2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2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2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2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2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2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2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2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2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2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2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2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2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2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2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2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2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2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2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2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2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2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2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2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2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2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2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2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2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2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2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2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2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2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2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2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2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2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2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2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2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2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2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2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2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2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2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2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2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2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2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2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2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2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2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2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2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2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2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2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2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2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2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2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2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2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2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2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2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2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2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2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2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2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2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2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2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2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2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2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2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2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2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2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2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2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2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2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2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2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2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2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2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2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2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2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2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2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2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2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2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2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2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2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2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2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2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2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2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2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2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2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2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2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2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2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2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2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2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2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2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2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2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2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2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2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2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2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2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2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2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2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2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2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2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2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2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2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2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2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2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2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2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2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2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2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2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2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2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2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2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2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2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2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2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2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2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2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2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2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2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2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2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2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2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2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2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2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2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2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2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2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2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2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2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2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2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2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2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2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2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2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2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2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2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2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2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2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2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2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2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2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2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2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2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2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2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2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2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2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2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2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2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2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2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2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2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2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2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2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2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2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2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2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2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2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2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2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2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2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2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2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2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2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2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2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2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2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2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2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2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2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2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2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2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2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2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2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2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2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2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2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2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2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2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2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2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2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2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2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2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2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2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2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2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2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2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2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2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2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2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2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2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2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2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2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2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2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2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2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2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2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2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2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2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2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2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2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2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2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2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2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2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2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2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2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2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2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2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2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2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2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2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2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2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2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2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2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2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2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2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2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2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2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2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2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2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2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2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2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2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2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2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2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2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2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2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2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2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2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2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2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2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2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2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2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2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2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2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2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2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2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2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2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2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2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2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2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2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2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2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2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2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2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2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2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2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2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2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2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2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2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2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2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2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2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2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2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2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2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2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2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2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2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2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2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2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2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2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2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2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2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2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2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2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2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2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2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2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2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2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2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2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2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2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2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2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2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2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2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2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2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2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2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2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2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2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2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2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2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2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2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2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2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2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2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2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2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2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2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2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2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2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2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2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2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2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2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2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2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2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2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2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2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2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2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2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2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2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2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2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2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2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2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2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2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2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2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2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2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2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2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2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2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2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2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2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2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2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2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2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2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2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2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2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2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2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2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2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2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2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2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2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2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2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2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2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2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2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2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2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2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2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2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2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2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2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2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2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2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2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2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2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2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2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2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2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2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2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2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2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2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2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2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2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2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2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2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2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2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2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2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2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2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2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2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2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2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2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2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2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2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2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2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2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2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2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2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2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2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2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2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2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2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2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2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2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2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2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2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2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2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2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2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2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2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2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2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2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2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2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2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2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2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2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2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2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2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2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2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2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2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2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2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2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2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2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2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2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2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2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2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2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2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2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2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2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2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2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2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2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2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2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2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2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2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2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2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2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2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2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2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2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2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2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2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2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2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2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2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2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2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2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2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2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2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2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2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2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2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2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2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2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2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2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2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2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2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2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2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2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2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2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2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2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2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2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2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2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2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2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2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2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2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2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2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2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2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2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2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2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2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2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2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2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2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2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2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2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2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2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2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2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2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2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2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2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2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2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2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2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2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2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2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2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2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2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2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2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2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2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2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2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2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2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2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2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2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2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2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2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2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2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2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2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2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2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2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2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2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2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2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2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2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2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2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2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2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2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2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2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2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2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2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2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2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2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2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2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2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2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2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2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2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2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2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2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2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2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2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2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2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2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2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2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2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2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2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2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2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2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2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2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2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2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2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2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2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2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2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2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2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2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2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2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2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2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2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2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2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2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2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2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2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2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2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2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2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2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2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2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2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2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2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2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2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2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2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2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2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2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2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2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2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2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2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2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2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2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2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2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2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2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2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2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2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2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2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2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2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2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2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2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2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2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2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2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2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2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2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2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2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2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2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2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2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2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2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2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2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2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2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2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2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2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2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2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2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2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2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2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2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2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2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2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2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2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2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2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2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2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2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2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2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2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2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2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2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2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2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2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2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2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2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2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2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2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2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2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2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2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2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2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2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2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2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2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2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2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2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2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2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2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2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2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2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2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2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2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2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2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2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2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2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2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2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2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2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2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2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2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2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2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2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2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2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2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2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2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2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2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2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2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2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2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2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2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2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2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2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2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2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2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2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2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2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2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2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2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2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2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2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2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2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2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2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2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2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2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2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2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2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2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2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2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2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2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2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2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2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2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2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2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2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2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2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2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2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2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2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2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2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2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2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2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2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2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2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ht="12.75" customHeight="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</sheetData>
  <mergeCells count="17">
    <mergeCell ref="B6:C6"/>
    <mergeCell ref="D6:E6"/>
    <mergeCell ref="A1:B3"/>
    <mergeCell ref="C2:C3"/>
    <mergeCell ref="D2:D3"/>
    <mergeCell ref="E2:E3"/>
    <mergeCell ref="B5:E5"/>
    <mergeCell ref="A14:D14"/>
    <mergeCell ref="A15:A18"/>
    <mergeCell ref="B15:E18"/>
    <mergeCell ref="A21:B22"/>
    <mergeCell ref="A8:D8"/>
    <mergeCell ref="A9:D9"/>
    <mergeCell ref="A10:D10"/>
    <mergeCell ref="A11:D11"/>
    <mergeCell ref="A12:D12"/>
    <mergeCell ref="A13:D13"/>
  </mergeCells>
  <pageMargins left="1.2649999999999999" right="0.7" top="0.75" bottom="0.75" header="0" footer="0"/>
  <pageSetup paperSize="9" scale="95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8DA9C8-772E-42EA-A108-25745FD0C528}">
  <sheetPr>
    <pageSetUpPr fitToPage="1"/>
  </sheetPr>
  <dimension ref="A1:G1001"/>
  <sheetViews>
    <sheetView topLeftCell="A13" workbookViewId="0">
      <selection sqref="A1:B6"/>
    </sheetView>
  </sheetViews>
  <sheetFormatPr baseColWidth="10" defaultColWidth="14.109375" defaultRowHeight="15" customHeight="1"/>
  <cols>
    <col min="1" max="1" width="41.5546875" style="12" customWidth="1"/>
    <col min="2" max="2" width="14.88671875" style="12" customWidth="1"/>
    <col min="3" max="3" width="16.109375" style="12" customWidth="1"/>
    <col min="4" max="4" width="14.88671875" style="12" customWidth="1"/>
    <col min="5" max="5" width="26" style="12" customWidth="1"/>
    <col min="6" max="26" width="9.109375" style="12" customWidth="1"/>
    <col min="27" max="16384" width="14.109375" style="12"/>
  </cols>
  <sheetData>
    <row r="1" spans="1:5" ht="19.5" customHeight="1">
      <c r="A1" s="76"/>
      <c r="B1" s="66"/>
      <c r="C1" s="79" t="s">
        <v>11</v>
      </c>
      <c r="D1" s="62"/>
      <c r="E1" s="63"/>
    </row>
    <row r="2" spans="1:5" ht="19.5" customHeight="1">
      <c r="A2" s="77"/>
      <c r="B2" s="78"/>
      <c r="C2" s="13" t="s">
        <v>12</v>
      </c>
      <c r="D2" s="80">
        <v>1</v>
      </c>
      <c r="E2" s="63"/>
    </row>
    <row r="3" spans="1:5" ht="19.5" customHeight="1">
      <c r="A3" s="77"/>
      <c r="B3" s="78"/>
      <c r="C3" s="14" t="s">
        <v>13</v>
      </c>
      <c r="D3" s="81" t="s">
        <v>48</v>
      </c>
      <c r="E3" s="82"/>
    </row>
    <row r="4" spans="1:5" ht="19.5" customHeight="1">
      <c r="A4" s="77"/>
      <c r="B4" s="78"/>
      <c r="C4" s="14" t="s">
        <v>14</v>
      </c>
      <c r="D4" s="83" t="s">
        <v>15</v>
      </c>
      <c r="E4" s="63"/>
    </row>
    <row r="5" spans="1:5" ht="19.5" customHeight="1">
      <c r="A5" s="77"/>
      <c r="B5" s="78"/>
      <c r="C5" s="14" t="s">
        <v>16</v>
      </c>
      <c r="D5" s="84">
        <v>1040050326</v>
      </c>
      <c r="E5" s="63"/>
    </row>
    <row r="6" spans="1:5" ht="19.5" customHeight="1">
      <c r="A6" s="68"/>
      <c r="B6" s="69"/>
      <c r="C6" s="14" t="s">
        <v>17</v>
      </c>
      <c r="D6" s="85" t="s">
        <v>18</v>
      </c>
      <c r="E6" s="63"/>
    </row>
    <row r="7" spans="1:5" ht="19.5" customHeight="1">
      <c r="A7" s="13" t="s">
        <v>19</v>
      </c>
      <c r="B7" s="73" t="s">
        <v>20</v>
      </c>
      <c r="C7" s="62"/>
      <c r="D7" s="62"/>
      <c r="E7" s="63"/>
    </row>
    <row r="8" spans="1:5" ht="19.5" customHeight="1">
      <c r="A8" s="13" t="s">
        <v>21</v>
      </c>
      <c r="B8" s="74">
        <v>1077463346</v>
      </c>
      <c r="C8" s="62"/>
      <c r="D8" s="62"/>
      <c r="E8" s="63"/>
    </row>
    <row r="9" spans="1:5" ht="19.5" customHeight="1">
      <c r="A9" s="13" t="s">
        <v>22</v>
      </c>
      <c r="B9" s="73"/>
      <c r="C9" s="62"/>
      <c r="D9" s="62"/>
      <c r="E9" s="63"/>
    </row>
    <row r="10" spans="1:5" ht="19.5" customHeight="1">
      <c r="A10" s="13" t="s">
        <v>23</v>
      </c>
      <c r="B10" s="61" t="s">
        <v>24</v>
      </c>
      <c r="C10" s="62"/>
      <c r="D10" s="62"/>
      <c r="E10" s="63"/>
    </row>
    <row r="11" spans="1:5" ht="38.25" customHeight="1">
      <c r="A11" s="13" t="s">
        <v>25</v>
      </c>
      <c r="B11" s="61" t="s">
        <v>26</v>
      </c>
      <c r="C11" s="62"/>
      <c r="D11" s="62"/>
      <c r="E11" s="63"/>
    </row>
    <row r="12" spans="1:5" ht="18" customHeight="1">
      <c r="A12" s="75"/>
      <c r="B12" s="62"/>
      <c r="C12" s="62"/>
      <c r="D12" s="62"/>
      <c r="E12" s="63"/>
    </row>
    <row r="13" spans="1:5" ht="48" customHeight="1">
      <c r="A13" s="14" t="s">
        <v>27</v>
      </c>
      <c r="B13" s="61" t="s">
        <v>28</v>
      </c>
      <c r="C13" s="62"/>
      <c r="D13" s="62"/>
      <c r="E13" s="63"/>
    </row>
    <row r="14" spans="1:5" ht="19.5" customHeight="1">
      <c r="A14" s="64" t="s">
        <v>29</v>
      </c>
      <c r="B14" s="65"/>
      <c r="C14" s="65"/>
      <c r="D14" s="65"/>
      <c r="E14" s="66"/>
    </row>
    <row r="15" spans="1:5" ht="39" customHeight="1">
      <c r="A15" s="15" t="s">
        <v>30</v>
      </c>
      <c r="B15" s="16"/>
      <c r="C15" s="16"/>
      <c r="D15" s="17"/>
      <c r="E15" s="18">
        <v>1750000</v>
      </c>
    </row>
    <row r="16" spans="1:5" ht="18.75" customHeight="1">
      <c r="A16" s="19" t="s">
        <v>37</v>
      </c>
      <c r="B16" s="16"/>
      <c r="C16" s="16"/>
      <c r="D16" s="17"/>
      <c r="E16" s="18">
        <v>0</v>
      </c>
    </row>
    <row r="17" spans="1:7" ht="27" customHeight="1">
      <c r="A17" s="19"/>
      <c r="B17" s="16"/>
      <c r="C17" s="16"/>
      <c r="D17" s="17"/>
      <c r="E17" s="18">
        <v>0</v>
      </c>
    </row>
    <row r="18" spans="1:7" ht="19.5" customHeight="1">
      <c r="A18" s="67" t="s">
        <v>31</v>
      </c>
      <c r="B18" s="66"/>
      <c r="C18" s="61" t="s">
        <v>32</v>
      </c>
      <c r="D18" s="63"/>
      <c r="E18" s="18">
        <f>+E15+E16</f>
        <v>1750000</v>
      </c>
    </row>
    <row r="19" spans="1:7" ht="19.5" customHeight="1">
      <c r="A19" s="68"/>
      <c r="B19" s="69"/>
      <c r="C19" s="61" t="s">
        <v>33</v>
      </c>
      <c r="D19" s="63"/>
      <c r="E19" s="20"/>
    </row>
    <row r="20" spans="1:7" ht="19.5" customHeight="1">
      <c r="A20" s="61" t="s">
        <v>34</v>
      </c>
      <c r="B20" s="63"/>
      <c r="C20" s="70" t="s">
        <v>35</v>
      </c>
      <c r="D20" s="66"/>
      <c r="E20" s="71">
        <f>+E15+E16+E17</f>
        <v>1750000</v>
      </c>
    </row>
    <row r="21" spans="1:7" ht="19.5" customHeight="1">
      <c r="A21" s="61" t="s">
        <v>36</v>
      </c>
      <c r="B21" s="63"/>
      <c r="C21" s="68"/>
      <c r="D21" s="69"/>
      <c r="E21" s="72"/>
      <c r="G21" s="18"/>
    </row>
    <row r="22" spans="1:7" ht="19.5" customHeight="1"/>
    <row r="23" spans="1:7" ht="19.5" customHeight="1"/>
    <row r="24" spans="1:7" ht="12.75" customHeight="1"/>
    <row r="25" spans="1:7" ht="12.75" customHeight="1"/>
    <row r="26" spans="1:7" ht="12.75" customHeight="1"/>
    <row r="27" spans="1:7" ht="12.75" customHeight="1"/>
    <row r="28" spans="1:7" ht="12.75" customHeight="1"/>
    <row r="29" spans="1:7" ht="12.75" customHeight="1"/>
    <row r="30" spans="1:7" ht="12.75" customHeight="1"/>
    <row r="31" spans="1:7" ht="12.75" customHeight="1"/>
    <row r="32" spans="1:7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  <row r="1001" ht="12.75" customHeight="1"/>
  </sheetData>
  <mergeCells count="22">
    <mergeCell ref="A1:B6"/>
    <mergeCell ref="C1:E1"/>
    <mergeCell ref="D2:E2"/>
    <mergeCell ref="D3:E3"/>
    <mergeCell ref="D4:E4"/>
    <mergeCell ref="D5:E5"/>
    <mergeCell ref="D6:E6"/>
    <mergeCell ref="A20:B20"/>
    <mergeCell ref="C20:D21"/>
    <mergeCell ref="E20:E21"/>
    <mergeCell ref="A21:B21"/>
    <mergeCell ref="B7:E7"/>
    <mergeCell ref="B8:E8"/>
    <mergeCell ref="B9:E9"/>
    <mergeCell ref="B10:E10"/>
    <mergeCell ref="B11:E11"/>
    <mergeCell ref="A12:E12"/>
    <mergeCell ref="B13:E13"/>
    <mergeCell ref="A14:E14"/>
    <mergeCell ref="A18:B19"/>
    <mergeCell ref="C18:D18"/>
    <mergeCell ref="C19:D19"/>
  </mergeCells>
  <hyperlinks>
    <hyperlink ref="D6" r:id="rId1" xr:uid="{CF300094-1C2F-485C-9ED8-A190F5E65E8C}"/>
  </hyperlinks>
  <pageMargins left="0.7" right="0.7" top="0.75" bottom="0.75" header="0" footer="0"/>
  <pageSetup paperSize="8" scale="84" orientation="portrait" r:id="rId2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6A0CBE-FF00-43C0-BC11-56B868BD009F}">
  <dimension ref="A1:F28"/>
  <sheetViews>
    <sheetView workbookViewId="0">
      <selection activeCell="C2" sqref="C2"/>
    </sheetView>
  </sheetViews>
  <sheetFormatPr baseColWidth="10" defaultRowHeight="14.4"/>
  <cols>
    <col min="1" max="1" width="25.44140625" customWidth="1"/>
    <col min="2" max="2" width="57.77734375" customWidth="1"/>
    <col min="3" max="3" width="24.44140625" customWidth="1"/>
    <col min="4" max="4" width="15.6640625" customWidth="1"/>
    <col min="5" max="5" width="9.21875" customWidth="1"/>
  </cols>
  <sheetData>
    <row r="1" spans="1:6" ht="42">
      <c r="A1" s="21" t="s">
        <v>38</v>
      </c>
      <c r="B1" s="22" t="s">
        <v>5</v>
      </c>
      <c r="C1" s="23" t="s">
        <v>39</v>
      </c>
      <c r="D1" s="24" t="s">
        <v>40</v>
      </c>
      <c r="E1" s="25" t="s">
        <v>41</v>
      </c>
      <c r="F1" s="26" t="s">
        <v>42</v>
      </c>
    </row>
    <row r="2" spans="1:6">
      <c r="A2" s="28">
        <v>46270</v>
      </c>
      <c r="B2" s="27" t="s">
        <v>43</v>
      </c>
      <c r="C2" s="29"/>
      <c r="D2" s="30"/>
      <c r="E2" s="31">
        <v>7560</v>
      </c>
      <c r="F2" s="32" t="e">
        <f>+F1+D2-E2</f>
        <v>#VALUE!</v>
      </c>
    </row>
    <row r="3" spans="1:6">
      <c r="A3" s="28">
        <v>46270</v>
      </c>
      <c r="B3" s="27" t="s">
        <v>44</v>
      </c>
      <c r="C3" s="29"/>
      <c r="D3" s="33">
        <v>1500000</v>
      </c>
      <c r="E3" s="31"/>
      <c r="F3" s="32" t="e">
        <f t="shared" ref="F2:F6" si="0">+F2+D3-E3</f>
        <v>#VALUE!</v>
      </c>
    </row>
    <row r="4" spans="1:6">
      <c r="A4" s="28">
        <v>46272</v>
      </c>
      <c r="B4" s="27" t="s">
        <v>45</v>
      </c>
      <c r="C4" s="29"/>
      <c r="D4" s="33">
        <v>2500000</v>
      </c>
      <c r="E4" s="31"/>
      <c r="F4" s="32" t="e">
        <f t="shared" si="0"/>
        <v>#VALUE!</v>
      </c>
    </row>
    <row r="5" spans="1:6">
      <c r="A5" s="28">
        <v>46272</v>
      </c>
      <c r="B5" s="27" t="s">
        <v>46</v>
      </c>
      <c r="C5" s="29"/>
      <c r="D5" s="30"/>
      <c r="E5" s="31">
        <v>1485000</v>
      </c>
      <c r="F5" s="32" t="e">
        <f t="shared" si="0"/>
        <v>#VALUE!</v>
      </c>
    </row>
    <row r="6" spans="1:6">
      <c r="A6" s="28">
        <v>46272</v>
      </c>
      <c r="B6" s="27" t="s">
        <v>47</v>
      </c>
      <c r="C6" s="29"/>
      <c r="D6" s="30"/>
      <c r="E6" s="31">
        <v>1575000</v>
      </c>
      <c r="F6" s="32" t="e">
        <f t="shared" si="0"/>
        <v>#VALUE!</v>
      </c>
    </row>
    <row r="7" spans="1:6">
      <c r="A7" s="27"/>
      <c r="B7" s="27"/>
      <c r="C7" s="27"/>
      <c r="D7" s="27"/>
      <c r="E7" s="27"/>
      <c r="F7" s="27"/>
    </row>
    <row r="8" spans="1:6">
      <c r="A8" s="27"/>
      <c r="B8" s="27"/>
      <c r="C8" s="27"/>
      <c r="D8" s="27"/>
      <c r="E8" s="27"/>
      <c r="F8" s="27"/>
    </row>
    <row r="9" spans="1:6">
      <c r="A9" s="27"/>
      <c r="B9" s="27"/>
      <c r="C9" s="27"/>
      <c r="D9" s="27"/>
      <c r="E9" s="27"/>
      <c r="F9" s="27"/>
    </row>
    <row r="10" spans="1:6">
      <c r="A10" s="27"/>
      <c r="B10" s="27"/>
      <c r="C10" s="27"/>
      <c r="D10" s="27"/>
      <c r="E10" s="27"/>
      <c r="F10" s="27"/>
    </row>
    <row r="11" spans="1:6">
      <c r="A11" s="27"/>
      <c r="B11" s="27"/>
      <c r="C11" s="27"/>
      <c r="D11" s="27"/>
      <c r="E11" s="27"/>
      <c r="F11" s="27"/>
    </row>
    <row r="12" spans="1:6">
      <c r="A12" s="27"/>
      <c r="B12" s="27"/>
      <c r="C12" s="27"/>
      <c r="D12" s="27"/>
      <c r="E12" s="27"/>
      <c r="F12" s="27"/>
    </row>
    <row r="13" spans="1:6">
      <c r="A13" s="27"/>
      <c r="B13" s="27"/>
      <c r="C13" s="27"/>
      <c r="D13" s="27"/>
      <c r="E13" s="27"/>
      <c r="F13" s="27"/>
    </row>
    <row r="14" spans="1:6">
      <c r="A14" s="27"/>
      <c r="B14" s="27"/>
      <c r="C14" s="27"/>
      <c r="D14" s="27"/>
      <c r="E14" s="27"/>
      <c r="F14" s="27"/>
    </row>
    <row r="15" spans="1:6">
      <c r="A15" s="27"/>
      <c r="B15" s="27"/>
      <c r="C15" s="27"/>
      <c r="D15" s="27"/>
      <c r="E15" s="27"/>
      <c r="F15" s="27"/>
    </row>
    <row r="16" spans="1:6">
      <c r="A16" s="27"/>
      <c r="B16" s="27"/>
      <c r="C16" s="27"/>
      <c r="D16" s="27"/>
      <c r="E16" s="27"/>
      <c r="F16" s="27"/>
    </row>
    <row r="17" spans="1:6">
      <c r="A17" s="27"/>
      <c r="B17" s="27"/>
      <c r="C17" s="27"/>
      <c r="D17" s="27"/>
      <c r="E17" s="27"/>
      <c r="F17" s="27"/>
    </row>
    <row r="18" spans="1:6">
      <c r="A18" s="27"/>
      <c r="B18" s="27"/>
      <c r="C18" s="27"/>
      <c r="D18" s="27"/>
      <c r="E18" s="27"/>
      <c r="F18" s="27"/>
    </row>
    <row r="19" spans="1:6">
      <c r="A19" s="27"/>
      <c r="B19" s="27"/>
      <c r="C19" s="27"/>
      <c r="D19" s="27"/>
      <c r="E19" s="27"/>
      <c r="F19" s="27"/>
    </row>
    <row r="20" spans="1:6">
      <c r="A20" s="27"/>
      <c r="B20" s="27"/>
      <c r="C20" s="27"/>
      <c r="D20" s="27"/>
      <c r="E20" s="27"/>
      <c r="F20" s="27"/>
    </row>
    <row r="21" spans="1:6">
      <c r="A21" s="27"/>
      <c r="B21" s="27"/>
      <c r="C21" s="27"/>
      <c r="D21" s="27"/>
      <c r="E21" s="27"/>
      <c r="F21" s="27"/>
    </row>
    <row r="22" spans="1:6">
      <c r="A22" s="27"/>
      <c r="B22" s="27"/>
      <c r="C22" s="27"/>
      <c r="D22" s="27"/>
      <c r="E22" s="27"/>
      <c r="F22" s="27"/>
    </row>
    <row r="23" spans="1:6">
      <c r="A23" s="27"/>
      <c r="B23" s="27"/>
      <c r="C23" s="27"/>
      <c r="D23" s="27"/>
      <c r="E23" s="27"/>
      <c r="F23" s="27"/>
    </row>
    <row r="24" spans="1:6">
      <c r="A24" s="27"/>
      <c r="B24" s="27"/>
      <c r="C24" s="27"/>
      <c r="D24" s="27"/>
      <c r="E24" s="27"/>
      <c r="F24" s="27"/>
    </row>
    <row r="25" spans="1:6">
      <c r="A25" s="27"/>
      <c r="B25" s="27"/>
      <c r="C25" s="27"/>
      <c r="D25" s="27"/>
      <c r="E25" s="27"/>
      <c r="F25" s="27"/>
    </row>
    <row r="26" spans="1:6">
      <c r="A26" s="27"/>
      <c r="B26" s="27"/>
      <c r="C26" s="27"/>
      <c r="D26" s="27"/>
      <c r="E26" s="27"/>
      <c r="F26" s="27"/>
    </row>
    <row r="27" spans="1:6">
      <c r="A27" s="27"/>
      <c r="B27" s="27"/>
      <c r="C27" s="27"/>
      <c r="D27" s="27"/>
      <c r="E27" s="27"/>
      <c r="F27" s="27"/>
    </row>
    <row r="28" spans="1:6">
      <c r="A28" s="27"/>
      <c r="B28" s="27"/>
      <c r="C28" s="27"/>
      <c r="D28" s="27"/>
      <c r="E28" s="27"/>
      <c r="F28" s="2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EGRESO </vt:lpstr>
      <vt:lpstr>CUENTA DE COBRO </vt:lpstr>
      <vt:lpstr>CUADRE DE BANCO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ASUS VIVOBook</cp:lastModifiedBy>
  <dcterms:created xsi:type="dcterms:W3CDTF">2026-10-05T16:16:19Z</dcterms:created>
  <dcterms:modified xsi:type="dcterms:W3CDTF">2026-10-08T17:04:01Z</dcterms:modified>
</cp:coreProperties>
</file>